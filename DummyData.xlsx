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tal\PycharmProjects\pythonProject\"/>
    </mc:Choice>
  </mc:AlternateContent>
  <xr:revisionPtr revIDLastSave="0" documentId="13_ncr:1_{E351B897-9CAA-477F-9F45-FEB6FECB64F3}" xr6:coauthVersionLast="47" xr6:coauthVersionMax="47" xr10:uidLastSave="{00000000-0000-0000-0000-000000000000}"/>
  <bookViews>
    <workbookView xWindow="-110" yWindow="-110" windowWidth="19420" windowHeight="11500" tabRatio="744" activeTab="2" xr2:uid="{0866BE8F-DC35-4B49-B44D-F3C4BC13F9EF}"/>
  </bookViews>
  <sheets>
    <sheet name="Member Dtls" sheetId="1" r:id="rId1"/>
    <sheet name="ICUE - Program Dtls" sheetId="2" r:id="rId2"/>
    <sheet name="Test Scenarios" sheetId="6" r:id="rId3"/>
    <sheet name="Member Case" sheetId="4" r:id="rId4"/>
    <sheet name="Allcoation" sheetId="5" r:id="rId5"/>
    <sheet name="MGRL" sheetId="7" r:id="rId6"/>
    <sheet name="Eligibility" sheetId="8" r:id="rId7"/>
    <sheet name="Member Dtls_x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  <c r="E3" i="1"/>
  <c r="E2" i="1"/>
  <c r="E3" i="3"/>
  <c r="E4" i="3"/>
  <c r="E5" i="3"/>
  <c r="E6" i="3"/>
  <c r="E7" i="3"/>
  <c r="E8" i="3"/>
  <c r="E9" i="3"/>
  <c r="E10" i="3"/>
  <c r="E2" i="3"/>
</calcChain>
</file>

<file path=xl/sharedStrings.xml><?xml version="1.0" encoding="utf-8"?>
<sst xmlns="http://schemas.openxmlformats.org/spreadsheetml/2006/main" count="214" uniqueCount="111">
  <si>
    <t>MSID</t>
  </si>
  <si>
    <t>mintal</t>
  </si>
  <si>
    <t>Allocation Date</t>
  </si>
  <si>
    <t>Member Program</t>
  </si>
  <si>
    <t>Member Program ID</t>
  </si>
  <si>
    <t>Time Zone</t>
  </si>
  <si>
    <t>Member Policy</t>
  </si>
  <si>
    <t>Policy #</t>
  </si>
  <si>
    <t>Policy Name</t>
  </si>
  <si>
    <t>WQ Priority Call</t>
  </si>
  <si>
    <t>EST</t>
  </si>
  <si>
    <t>MISA</t>
  </si>
  <si>
    <t>SUTHERLAND GLOBAL SERVICES</t>
  </si>
  <si>
    <t>ESOGSNAPCM</t>
  </si>
  <si>
    <t>HCDSOGS</t>
  </si>
  <si>
    <t>General Condition Management</t>
  </si>
  <si>
    <t>GCM</t>
  </si>
  <si>
    <t>Member_Last_Name</t>
  </si>
  <si>
    <t>Member_ID</t>
  </si>
  <si>
    <t>Program_Id</t>
  </si>
  <si>
    <t>Member_First_Name</t>
  </si>
  <si>
    <t>Dob</t>
  </si>
  <si>
    <t>Age</t>
  </si>
  <si>
    <t>Gender</t>
  </si>
  <si>
    <t>Relationship</t>
  </si>
  <si>
    <t>Santos</t>
  </si>
  <si>
    <t>Miguel</t>
  </si>
  <si>
    <t>Male</t>
  </si>
  <si>
    <t>SP</t>
  </si>
  <si>
    <t>Member_Prog_Id</t>
  </si>
  <si>
    <t>Cruz</t>
  </si>
  <si>
    <t>Juan</t>
  </si>
  <si>
    <t>Doe</t>
  </si>
  <si>
    <t>John</t>
  </si>
  <si>
    <t>Karen</t>
  </si>
  <si>
    <t>Jane</t>
  </si>
  <si>
    <t>Smith</t>
  </si>
  <si>
    <t>Michael</t>
  </si>
  <si>
    <t>Miller</t>
  </si>
  <si>
    <t>Brown</t>
  </si>
  <si>
    <t>David</t>
  </si>
  <si>
    <t>James</t>
  </si>
  <si>
    <t>Johnson</t>
  </si>
  <si>
    <t>Williams</t>
  </si>
  <si>
    <t>Female</t>
  </si>
  <si>
    <t>Program_type</t>
  </si>
  <si>
    <t>PHS 3.0</t>
  </si>
  <si>
    <t>Member_alerts</t>
  </si>
  <si>
    <t>SERVICENOW, INC.</t>
  </si>
  <si>
    <t>LIBING THINGS</t>
  </si>
  <si>
    <t>HF</t>
  </si>
  <si>
    <t>Heart Failure</t>
  </si>
  <si>
    <t>COPD</t>
  </si>
  <si>
    <t>Chronic Obstructive Pulmonary Disease</t>
  </si>
  <si>
    <t>CAD</t>
  </si>
  <si>
    <t>Coronary Artery Disease</t>
  </si>
  <si>
    <t>DB</t>
  </si>
  <si>
    <t>Diabetes</t>
  </si>
  <si>
    <t>BPH</t>
  </si>
  <si>
    <t>Benign Prostatic Hypertrophy</t>
  </si>
  <si>
    <t>PHS 2.0</t>
  </si>
  <si>
    <t>Member_Age</t>
  </si>
  <si>
    <t>Member_Dob</t>
  </si>
  <si>
    <t>Member_Gender</t>
  </si>
  <si>
    <t>Member_Relationship</t>
  </si>
  <si>
    <t>Member_Opt_Out_Preference</t>
  </si>
  <si>
    <t>MC_Member_ID</t>
  </si>
  <si>
    <t>MC_Case_ID</t>
  </si>
  <si>
    <t>MC_Case_Status</t>
  </si>
  <si>
    <t>MC_Discharge_Date</t>
  </si>
  <si>
    <t>Open</t>
  </si>
  <si>
    <t>Close</t>
  </si>
  <si>
    <t>Program_Code</t>
  </si>
  <si>
    <t>Program_Name</t>
  </si>
  <si>
    <t>DNC</t>
  </si>
  <si>
    <t>Program ID - 836784495</t>
  </si>
  <si>
    <t>Display "Member is NOT eligible. Opt Out Preference is set to DNC. Please process reject referral ."</t>
  </si>
  <si>
    <t>SCENARIOS</t>
  </si>
  <si>
    <t>EXPECTED OUTPUT</t>
  </si>
  <si>
    <t>TEST DATA INPUT</t>
  </si>
  <si>
    <t>Program ID - 498822475</t>
  </si>
  <si>
    <t>Display "Member age is below 18 yrs old and is NOT eligible. Please create a GCM referral."</t>
  </si>
  <si>
    <t>Program ID - 683294865</t>
  </si>
  <si>
    <t>Display "Member is NOT eligible. Please create a surveillance assignment."</t>
  </si>
  <si>
    <r>
      <rPr>
        <b/>
        <sz val="11"/>
        <color theme="1"/>
        <rFont val="Aptos Narrow"/>
        <family val="2"/>
        <scheme val="minor"/>
      </rPr>
      <t xml:space="preserve">Scenario 3: </t>
    </r>
    <r>
      <rPr>
        <sz val="11"/>
        <color theme="1"/>
        <rFont val="Aptos Narrow"/>
        <family val="2"/>
        <scheme val="minor"/>
      </rPr>
      <t xml:space="preserve">
Opt out preference is NOT DNC 
Age is &lt; 18 yrs old
Case type is  GCM
Member has open case with NO discharge date</t>
    </r>
  </si>
  <si>
    <r>
      <rPr>
        <b/>
        <sz val="11"/>
        <color theme="1"/>
        <rFont val="Aptos Narrow"/>
        <family val="2"/>
        <scheme val="minor"/>
      </rPr>
      <t>Scenario 1:</t>
    </r>
    <r>
      <rPr>
        <sz val="11"/>
        <color theme="1"/>
        <rFont val="Aptos Narrow"/>
        <family val="2"/>
        <scheme val="minor"/>
      </rPr>
      <t xml:space="preserve"> 
Opt out preference = DNC</t>
    </r>
  </si>
  <si>
    <t>Display "Member is NOT eligible. Please reassign to real time work queue ."</t>
  </si>
  <si>
    <t>ABS</t>
  </si>
  <si>
    <r>
      <rPr>
        <b/>
        <sz val="11"/>
        <color theme="1"/>
        <rFont val="Aptos Narrow"/>
        <family val="2"/>
        <scheme val="minor"/>
      </rPr>
      <t xml:space="preserve">Scenario 2: </t>
    </r>
    <r>
      <rPr>
        <sz val="11"/>
        <color theme="1"/>
        <rFont val="Aptos Narrow"/>
        <family val="2"/>
        <scheme val="minor"/>
      </rPr>
      <t xml:space="preserve">
Opt out preference is NOT DNC 
Age is &lt; 18 yrs old
Program code is NOT GCM</t>
    </r>
  </si>
  <si>
    <t>Program ID - 435328172</t>
  </si>
  <si>
    <t>Program ID - 344284704</t>
  </si>
  <si>
    <t>Check Policy number in MGRL</t>
  </si>
  <si>
    <t>Mgrl_Policy_No</t>
  </si>
  <si>
    <t>Mgrl_Policy_Name</t>
  </si>
  <si>
    <t>El_Policy_No</t>
  </si>
  <si>
    <t>El_Policy_Name</t>
  </si>
  <si>
    <t>El_Policy_Start_Date</t>
  </si>
  <si>
    <t>El_Policy_End_Date</t>
  </si>
  <si>
    <t>Frozen Food Express</t>
  </si>
  <si>
    <t>Seven Evelyn</t>
  </si>
  <si>
    <t>ServiceNow, Inc.</t>
  </si>
  <si>
    <t>Program ID - 543531255</t>
  </si>
  <si>
    <r>
      <rPr>
        <b/>
        <sz val="11"/>
        <color theme="1"/>
        <rFont val="Aptos Narrow"/>
        <family val="2"/>
        <scheme val="minor"/>
      </rPr>
      <t xml:space="preserve">Scenario 4: </t>
    </r>
    <r>
      <rPr>
        <sz val="11"/>
        <color theme="1"/>
        <rFont val="Aptos Narrow"/>
        <family val="2"/>
        <scheme val="minor"/>
      </rPr>
      <t xml:space="preserve">
Opt out preference is NOT DNC 
Age is &lt; 18 yrs old
Case type is  GCM
Member has closed case 
Program Type is NOT PHS 2.0 or 3.0</t>
    </r>
  </si>
  <si>
    <t>Member_Policy_No</t>
  </si>
  <si>
    <t>Member_Policy_Name</t>
  </si>
  <si>
    <r>
      <rPr>
        <b/>
        <sz val="11"/>
        <color theme="1"/>
        <rFont val="Aptos Narrow"/>
        <family val="2"/>
        <scheme val="minor"/>
      </rPr>
      <t xml:space="preserve">Scenario 5: </t>
    </r>
    <r>
      <rPr>
        <sz val="11"/>
        <color theme="1"/>
        <rFont val="Aptos Narrow"/>
        <family val="2"/>
        <scheme val="minor"/>
      </rPr>
      <t xml:space="preserve">
Opt out preference is NOT DNC 
Age is &lt; 18 yrs old
Case type is  GCM
Member has closed case 
Program Type is PHS 2.0 or 3.0
Policy record found in MGRL</t>
    </r>
  </si>
  <si>
    <t>Policy_End_Date</t>
  </si>
  <si>
    <r>
      <rPr>
        <b/>
        <sz val="11"/>
        <color theme="1"/>
        <rFont val="Aptos Narrow"/>
        <family val="2"/>
        <scheme val="minor"/>
      </rPr>
      <t xml:space="preserve">Scenario 6: </t>
    </r>
    <r>
      <rPr>
        <sz val="11"/>
        <color theme="1"/>
        <rFont val="Aptos Narrow"/>
        <family val="2"/>
        <scheme val="minor"/>
      </rPr>
      <t xml:space="preserve">
Opt out preference is NOT DNC 
Age is &lt; 18 yrs old
Case type is  GCM
Member has closed case 
Program Type is PHS 2.0 or 3.0
Policy record NOT found in MGRL
Policy end date &lt; today's date or 12/31/9999</t>
    </r>
  </si>
  <si>
    <r>
      <rPr>
        <b/>
        <sz val="11"/>
        <color theme="1"/>
        <rFont val="Aptos Narrow"/>
        <family val="2"/>
        <scheme val="minor"/>
      </rPr>
      <t xml:space="preserve">Scenario 7: </t>
    </r>
    <r>
      <rPr>
        <sz val="11"/>
        <color theme="1"/>
        <rFont val="Aptos Narrow"/>
        <family val="2"/>
        <scheme val="minor"/>
      </rPr>
      <t xml:space="preserve">
Opt out preference is NOT DNC 
Age is &lt; 18 yrs old
Case type is  GCM
Member has closed case 
Program Type is PHS 2.0 or 3.0
Policy record NOT found in MGRL
Policy end date &gt; today's date or 12/31/9999
Funding arrangement is NOT ASO
Funding arrangement is NOT fully insure</t>
    </r>
  </si>
  <si>
    <t>Display "Member is NOT eligible. Please process reject referral."</t>
  </si>
  <si>
    <t>Display "Member is NOT eligible. Please reassign the case to the correct work queue."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</si>
</sst>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 applyAlignment="1">
      <alignment horizontal="right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vertical="top" wrapText="1"/>
    </xf>
    <xf numFmtId="0" fontId="0" fillId="4" borderId="0" xfId="0" applyFill="1"/>
    <xf numFmtId="0" fontId="0" fillId="4" borderId="0" xfId="0" applyFill="1" applyAlignment="1">
      <alignment vertical="top" wrapText="1"/>
    </xf>
    <xf numFmtId="0" fontId="0" fillId="5" borderId="0" xfId="0" applyFill="1"/>
    <xf numFmtId="0" fontId="0" fillId="5" borderId="0" xfId="0" applyFill="1" applyAlignment="1">
      <alignment vertical="top" wrapText="1"/>
    </xf>
    <xf numFmtId="0" fontId="0" fillId="6" borderId="0" xfId="0" applyFill="1"/>
    <xf numFmtId="0" fontId="0" fillId="6" borderId="0" xfId="0" applyFill="1" applyAlignment="1">
      <alignment vertical="top" wrapText="1"/>
    </xf>
    <xf numFmtId="0" fontId="0" fillId="0" borderId="0" xfId="0" quotePrefix="1"/>
    <xf numFmtId="0" fontId="0" fillId="7" borderId="0" xfId="0" applyFill="1" applyAlignment="1">
      <alignment vertical="top" wrapText="1"/>
    </xf>
    <xf numFmtId="0" fontId="0" fillId="7" borderId="0" xfId="0" applyFill="1"/>
    <xf numFmtId="0" fontId="0" fillId="8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451D-8CA4-48BE-BE99-8F5EDF1684B2}">
  <dimension ref="A1:M10"/>
  <sheetViews>
    <sheetView topLeftCell="F1" workbookViewId="0">
      <selection activeCell="H8" sqref="H8"/>
    </sheetView>
  </sheetViews>
  <sheetFormatPr defaultRowHeight="14.5" x14ac:dyDescent="0.35"/>
  <cols>
    <col min="1" max="1" width="15" customWidth="1"/>
    <col min="2" max="2" width="20.81640625" customWidth="1"/>
    <col min="3" max="3" width="18.453125" customWidth="1"/>
    <col min="4" max="4" width="12" bestFit="1" customWidth="1"/>
    <col min="5" max="5" width="13.81640625" customWidth="1"/>
    <col min="6" max="6" width="14.7265625" bestFit="1" customWidth="1"/>
    <col min="7" max="7" width="15.36328125" customWidth="1"/>
    <col min="8" max="8" width="17.7265625" customWidth="1"/>
    <col min="9" max="9" width="15.36328125" customWidth="1"/>
    <col min="10" max="10" width="25.1796875" bestFit="1" customWidth="1"/>
    <col min="11" max="11" width="16.1796875" customWidth="1"/>
    <col min="12" max="12" width="27.54296875" bestFit="1" customWidth="1"/>
    <col min="13" max="13" width="14.26953125" bestFit="1" customWidth="1"/>
  </cols>
  <sheetData>
    <row r="1" spans="1:13" x14ac:dyDescent="0.35">
      <c r="A1" t="s">
        <v>18</v>
      </c>
      <c r="B1" t="s">
        <v>17</v>
      </c>
      <c r="C1" t="s">
        <v>20</v>
      </c>
      <c r="D1" t="s">
        <v>62</v>
      </c>
      <c r="E1" t="s">
        <v>61</v>
      </c>
      <c r="F1" t="s">
        <v>63</v>
      </c>
      <c r="G1" t="s">
        <v>64</v>
      </c>
      <c r="H1" t="s">
        <v>29</v>
      </c>
      <c r="I1" t="s">
        <v>47</v>
      </c>
      <c r="J1" t="s">
        <v>65</v>
      </c>
      <c r="K1" t="s">
        <v>103</v>
      </c>
      <c r="L1" t="s">
        <v>104</v>
      </c>
      <c r="M1" t="s">
        <v>106</v>
      </c>
    </row>
    <row r="2" spans="1:13" x14ac:dyDescent="0.35">
      <c r="A2" s="3">
        <v>4088042736</v>
      </c>
      <c r="B2" t="s">
        <v>25</v>
      </c>
      <c r="C2" t="s">
        <v>26</v>
      </c>
      <c r="D2" s="1">
        <v>29526</v>
      </c>
      <c r="E2" s="2">
        <f ca="1">DATEDIF(D2,TODAY(),"Y")</f>
        <v>45</v>
      </c>
      <c r="F2" t="s">
        <v>27</v>
      </c>
      <c r="G2" t="s">
        <v>28</v>
      </c>
      <c r="H2">
        <v>376681962</v>
      </c>
      <c r="K2">
        <v>708881</v>
      </c>
      <c r="L2" t="s">
        <v>11</v>
      </c>
    </row>
    <row r="3" spans="1:13" x14ac:dyDescent="0.35">
      <c r="A3">
        <v>2800672319</v>
      </c>
      <c r="B3" t="s">
        <v>30</v>
      </c>
      <c r="C3" t="s">
        <v>31</v>
      </c>
      <c r="D3" s="1">
        <v>33142</v>
      </c>
      <c r="E3" s="2">
        <f t="shared" ref="E3:E10" ca="1" si="0">DATEDIF(D3,TODAY(),"Y")</f>
        <v>36</v>
      </c>
      <c r="F3" t="s">
        <v>27</v>
      </c>
      <c r="G3" t="s">
        <v>28</v>
      </c>
      <c r="H3" s="7">
        <v>836784495</v>
      </c>
      <c r="J3" t="s">
        <v>74</v>
      </c>
      <c r="K3">
        <v>476897</v>
      </c>
      <c r="L3" t="s">
        <v>12</v>
      </c>
    </row>
    <row r="4" spans="1:13" x14ac:dyDescent="0.35">
      <c r="A4">
        <v>1125525865</v>
      </c>
      <c r="B4" t="s">
        <v>32</v>
      </c>
      <c r="C4" t="s">
        <v>33</v>
      </c>
      <c r="D4" s="1">
        <v>40545</v>
      </c>
      <c r="E4" s="2">
        <f t="shared" ca="1" si="0"/>
        <v>15</v>
      </c>
      <c r="F4" t="s">
        <v>27</v>
      </c>
      <c r="G4" t="s">
        <v>28</v>
      </c>
      <c r="H4" s="8">
        <v>498822475</v>
      </c>
      <c r="K4">
        <v>909166</v>
      </c>
      <c r="L4" t="s">
        <v>48</v>
      </c>
    </row>
    <row r="5" spans="1:13" x14ac:dyDescent="0.35">
      <c r="A5">
        <v>8104375203</v>
      </c>
      <c r="B5" t="s">
        <v>32</v>
      </c>
      <c r="C5" t="s">
        <v>35</v>
      </c>
      <c r="D5" s="1">
        <v>26698</v>
      </c>
      <c r="E5" s="2">
        <f t="shared" ca="1" si="0"/>
        <v>53</v>
      </c>
      <c r="F5" t="s">
        <v>44</v>
      </c>
      <c r="G5" t="s">
        <v>28</v>
      </c>
      <c r="H5">
        <v>133324351</v>
      </c>
      <c r="K5">
        <v>982065</v>
      </c>
      <c r="L5" t="s">
        <v>49</v>
      </c>
    </row>
    <row r="6" spans="1:13" x14ac:dyDescent="0.35">
      <c r="A6">
        <v>6724421141</v>
      </c>
      <c r="B6" t="s">
        <v>36</v>
      </c>
      <c r="C6" t="s">
        <v>37</v>
      </c>
      <c r="D6" s="1">
        <v>30014</v>
      </c>
      <c r="E6" s="2">
        <f t="shared" ca="1" si="0"/>
        <v>44</v>
      </c>
      <c r="F6" t="s">
        <v>27</v>
      </c>
      <c r="G6" t="s">
        <v>28</v>
      </c>
      <c r="H6">
        <v>350339412</v>
      </c>
      <c r="K6">
        <v>1324</v>
      </c>
    </row>
    <row r="7" spans="1:13" x14ac:dyDescent="0.35">
      <c r="A7">
        <v>3428511303</v>
      </c>
      <c r="B7" t="s">
        <v>38</v>
      </c>
      <c r="C7" t="s">
        <v>33</v>
      </c>
      <c r="D7" s="1">
        <v>32603</v>
      </c>
      <c r="E7" s="2">
        <f t="shared" ca="1" si="0"/>
        <v>37</v>
      </c>
      <c r="F7" t="s">
        <v>27</v>
      </c>
      <c r="G7" t="s">
        <v>28</v>
      </c>
      <c r="H7" s="10">
        <v>683294865</v>
      </c>
      <c r="K7">
        <v>4678</v>
      </c>
    </row>
    <row r="8" spans="1:13" x14ac:dyDescent="0.35">
      <c r="A8">
        <v>7373366639</v>
      </c>
      <c r="B8" t="s">
        <v>39</v>
      </c>
      <c r="C8" t="s">
        <v>40</v>
      </c>
      <c r="D8" s="1">
        <v>34825</v>
      </c>
      <c r="E8" s="2">
        <f t="shared" ca="1" si="0"/>
        <v>31</v>
      </c>
      <c r="F8" t="s">
        <v>27</v>
      </c>
      <c r="G8" t="s">
        <v>28</v>
      </c>
      <c r="H8" s="18">
        <v>543531255</v>
      </c>
    </row>
    <row r="9" spans="1:13" x14ac:dyDescent="0.35">
      <c r="A9">
        <v>6350095935</v>
      </c>
      <c r="B9" t="s">
        <v>42</v>
      </c>
      <c r="C9" t="s">
        <v>41</v>
      </c>
      <c r="D9" s="1">
        <v>41067</v>
      </c>
      <c r="E9" s="2">
        <f t="shared" ca="1" si="0"/>
        <v>14</v>
      </c>
      <c r="F9" t="s">
        <v>27</v>
      </c>
      <c r="G9" t="s">
        <v>28</v>
      </c>
      <c r="H9" s="12">
        <v>344284704</v>
      </c>
      <c r="K9">
        <v>469657</v>
      </c>
    </row>
    <row r="10" spans="1:13" x14ac:dyDescent="0.35">
      <c r="A10">
        <v>3141284892</v>
      </c>
      <c r="B10" t="s">
        <v>43</v>
      </c>
      <c r="C10" t="s">
        <v>34</v>
      </c>
      <c r="D10" s="1">
        <v>40367</v>
      </c>
      <c r="E10" s="2">
        <f t="shared" ca="1" si="0"/>
        <v>16</v>
      </c>
      <c r="F10" t="s">
        <v>44</v>
      </c>
      <c r="G10" t="s">
        <v>28</v>
      </c>
      <c r="H10" s="14">
        <v>435328172</v>
      </c>
      <c r="K10">
        <v>145344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57DF5-A49C-404B-81ED-551C61E9CBE6}">
  <dimension ref="A1:D10"/>
  <sheetViews>
    <sheetView workbookViewId="0">
      <selection activeCell="A9" sqref="A9"/>
    </sheetView>
  </sheetViews>
  <sheetFormatPr defaultRowHeight="14.5" x14ac:dyDescent="0.35"/>
  <cols>
    <col min="1" max="1" width="12.90625" customWidth="1"/>
    <col min="2" max="2" width="14.1796875" bestFit="1" customWidth="1"/>
    <col min="3" max="3" width="34.7265625" customWidth="1"/>
    <col min="4" max="4" width="21.54296875" customWidth="1"/>
  </cols>
  <sheetData>
    <row r="1" spans="1:4" x14ac:dyDescent="0.35">
      <c r="A1" t="s">
        <v>19</v>
      </c>
      <c r="B1" t="s">
        <v>72</v>
      </c>
      <c r="C1" t="s">
        <v>73</v>
      </c>
      <c r="D1" t="s">
        <v>45</v>
      </c>
    </row>
    <row r="2" spans="1:4" x14ac:dyDescent="0.35">
      <c r="A2">
        <v>376681962</v>
      </c>
      <c r="B2" t="s">
        <v>16</v>
      </c>
      <c r="C2" t="s">
        <v>15</v>
      </c>
      <c r="D2" t="s">
        <v>46</v>
      </c>
    </row>
    <row r="3" spans="1:4" x14ac:dyDescent="0.35">
      <c r="A3">
        <v>836784495</v>
      </c>
      <c r="B3" t="s">
        <v>50</v>
      </c>
      <c r="C3" t="s">
        <v>51</v>
      </c>
      <c r="D3" t="s">
        <v>46</v>
      </c>
    </row>
    <row r="4" spans="1:4" x14ac:dyDescent="0.35">
      <c r="A4">
        <v>498822475</v>
      </c>
      <c r="B4" t="s">
        <v>52</v>
      </c>
      <c r="C4" t="s">
        <v>53</v>
      </c>
      <c r="D4" t="s">
        <v>46</v>
      </c>
    </row>
    <row r="5" spans="1:4" x14ac:dyDescent="0.35">
      <c r="A5">
        <v>133324351</v>
      </c>
      <c r="B5" t="s">
        <v>54</v>
      </c>
      <c r="C5" t="s">
        <v>55</v>
      </c>
      <c r="D5" t="s">
        <v>46</v>
      </c>
    </row>
    <row r="6" spans="1:4" x14ac:dyDescent="0.35">
      <c r="A6">
        <v>350339412</v>
      </c>
      <c r="B6" t="s">
        <v>56</v>
      </c>
      <c r="C6" t="s">
        <v>57</v>
      </c>
      <c r="D6" t="s">
        <v>46</v>
      </c>
    </row>
    <row r="7" spans="1:4" x14ac:dyDescent="0.35">
      <c r="A7">
        <v>683294865</v>
      </c>
      <c r="B7" t="s">
        <v>16</v>
      </c>
      <c r="C7" t="s">
        <v>15</v>
      </c>
      <c r="D7" t="s">
        <v>46</v>
      </c>
    </row>
    <row r="8" spans="1:4" x14ac:dyDescent="0.35">
      <c r="A8">
        <v>543531255</v>
      </c>
      <c r="B8" t="s">
        <v>58</v>
      </c>
      <c r="C8" t="s">
        <v>59</v>
      </c>
      <c r="D8" t="s">
        <v>46</v>
      </c>
    </row>
    <row r="9" spans="1:4" x14ac:dyDescent="0.35">
      <c r="A9">
        <v>344284704</v>
      </c>
      <c r="B9" t="s">
        <v>16</v>
      </c>
      <c r="C9" t="s">
        <v>15</v>
      </c>
      <c r="D9" t="s">
        <v>60</v>
      </c>
    </row>
    <row r="10" spans="1:4" x14ac:dyDescent="0.35">
      <c r="A10">
        <v>435328172</v>
      </c>
      <c r="B10" t="s">
        <v>16</v>
      </c>
      <c r="C10" t="s">
        <v>15</v>
      </c>
      <c r="D10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FC37-AC7B-4595-BC62-86F03884FCAD}">
  <dimension ref="A1:C8"/>
  <sheetViews>
    <sheetView tabSelected="1" topLeftCell="A7" workbookViewId="0">
      <selection activeCell="A7" sqref="A7"/>
    </sheetView>
  </sheetViews>
  <sheetFormatPr defaultRowHeight="14.5" x14ac:dyDescent="0.35"/>
  <cols>
    <col min="1" max="1" width="36" style="4" customWidth="1"/>
    <col min="2" max="2" width="33.81640625" style="4" customWidth="1"/>
    <col min="3" max="3" width="53.08984375" style="4" bestFit="1" customWidth="1"/>
    <col min="4" max="4" width="17.6328125" style="4" customWidth="1"/>
    <col min="5" max="16384" width="8.7265625" style="4"/>
  </cols>
  <sheetData>
    <row r="1" spans="1:3" x14ac:dyDescent="0.35">
      <c r="A1" s="5" t="s">
        <v>77</v>
      </c>
      <c r="B1" s="5" t="s">
        <v>79</v>
      </c>
      <c r="C1" s="5" t="s">
        <v>78</v>
      </c>
    </row>
    <row r="2" spans="1:3" ht="29" x14ac:dyDescent="0.35">
      <c r="A2" s="4" t="s">
        <v>85</v>
      </c>
      <c r="B2" s="6" t="s">
        <v>75</v>
      </c>
      <c r="C2" s="4" t="s">
        <v>76</v>
      </c>
    </row>
    <row r="3" spans="1:3" ht="58" x14ac:dyDescent="0.35">
      <c r="A3" s="4" t="s">
        <v>88</v>
      </c>
      <c r="B3" s="9" t="s">
        <v>80</v>
      </c>
      <c r="C3" s="4" t="s">
        <v>81</v>
      </c>
    </row>
    <row r="4" spans="1:3" ht="87" x14ac:dyDescent="0.35">
      <c r="A4" s="4" t="s">
        <v>84</v>
      </c>
      <c r="B4" s="11" t="s">
        <v>82</v>
      </c>
      <c r="C4" s="4" t="s">
        <v>83</v>
      </c>
    </row>
    <row r="5" spans="1:3" ht="87" x14ac:dyDescent="0.35">
      <c r="A5" s="4" t="s">
        <v>102</v>
      </c>
      <c r="B5" s="15" t="s">
        <v>89</v>
      </c>
      <c r="C5" s="4" t="s">
        <v>86</v>
      </c>
    </row>
    <row r="6" spans="1:3" ht="101.5" x14ac:dyDescent="0.35">
      <c r="A6" s="4" t="s">
        <v>105</v>
      </c>
      <c r="B6" s="13" t="s">
        <v>90</v>
      </c>
      <c r="C6" s="4" t="s">
        <v>91</v>
      </c>
    </row>
    <row r="7" spans="1:3" ht="130.5" x14ac:dyDescent="0.35">
      <c r="A7" s="4" t="s">
        <v>107</v>
      </c>
      <c r="B7" s="17" t="s">
        <v>101</v>
      </c>
      <c r="C7" s="4" t="s">
        <v>109</v>
      </c>
    </row>
    <row r="8" spans="1:3" ht="159.5" x14ac:dyDescent="0.35">
      <c r="A8" s="4" t="s">
        <v>108</v>
      </c>
      <c r="B8" s="19"/>
      <c r="C8" s="4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1E95-AD72-4A54-9276-BEE2E66CD04F}">
  <dimension ref="A1:D10"/>
  <sheetViews>
    <sheetView workbookViewId="0">
      <selection activeCell="A9" sqref="A9"/>
    </sheetView>
  </sheetViews>
  <sheetFormatPr defaultRowHeight="14.5" x14ac:dyDescent="0.35"/>
  <cols>
    <col min="1" max="1" width="19.36328125" customWidth="1"/>
    <col min="2" max="3" width="16.6328125" customWidth="1"/>
    <col min="4" max="4" width="20.08984375" customWidth="1"/>
  </cols>
  <sheetData>
    <row r="1" spans="1:4" x14ac:dyDescent="0.35">
      <c r="A1" t="s">
        <v>66</v>
      </c>
      <c r="B1" t="s">
        <v>67</v>
      </c>
      <c r="C1" t="s">
        <v>68</v>
      </c>
      <c r="D1" t="s">
        <v>69</v>
      </c>
    </row>
    <row r="2" spans="1:4" x14ac:dyDescent="0.35">
      <c r="A2" s="3">
        <v>4088042736</v>
      </c>
      <c r="C2" t="s">
        <v>71</v>
      </c>
      <c r="D2" s="1">
        <v>46260</v>
      </c>
    </row>
    <row r="3" spans="1:4" x14ac:dyDescent="0.35">
      <c r="A3">
        <v>2800672319</v>
      </c>
      <c r="C3" t="s">
        <v>71</v>
      </c>
      <c r="D3" s="1">
        <v>45972</v>
      </c>
    </row>
    <row r="4" spans="1:4" x14ac:dyDescent="0.35">
      <c r="A4">
        <v>1125525865</v>
      </c>
      <c r="C4" t="s">
        <v>71</v>
      </c>
      <c r="D4" s="1">
        <v>46296</v>
      </c>
    </row>
    <row r="5" spans="1:4" x14ac:dyDescent="0.35">
      <c r="A5">
        <v>8104375203</v>
      </c>
      <c r="C5" t="s">
        <v>71</v>
      </c>
      <c r="D5" s="1">
        <v>46128</v>
      </c>
    </row>
    <row r="6" spans="1:4" x14ac:dyDescent="0.35">
      <c r="A6">
        <v>6724421141</v>
      </c>
      <c r="C6" t="s">
        <v>71</v>
      </c>
      <c r="D6" s="1">
        <v>46276</v>
      </c>
    </row>
    <row r="7" spans="1:4" x14ac:dyDescent="0.35">
      <c r="A7">
        <v>3428511303</v>
      </c>
      <c r="C7" t="s">
        <v>70</v>
      </c>
    </row>
    <row r="8" spans="1:4" x14ac:dyDescent="0.35">
      <c r="A8">
        <v>7373366639</v>
      </c>
      <c r="C8" t="s">
        <v>71</v>
      </c>
      <c r="D8" s="1">
        <v>46016</v>
      </c>
    </row>
    <row r="9" spans="1:4" x14ac:dyDescent="0.35">
      <c r="A9">
        <v>6350095935</v>
      </c>
      <c r="C9" t="s">
        <v>71</v>
      </c>
      <c r="D9" s="1">
        <v>46067</v>
      </c>
    </row>
    <row r="10" spans="1:4" x14ac:dyDescent="0.35">
      <c r="A10">
        <v>3141284892</v>
      </c>
      <c r="C10" t="s">
        <v>71</v>
      </c>
      <c r="D10" s="1">
        <v>46207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2C62-91DF-4555-BE71-94960F2BBCD6}">
  <dimension ref="A1:I10"/>
  <sheetViews>
    <sheetView workbookViewId="0">
      <selection activeCell="G2" sqref="G2:H5"/>
    </sheetView>
  </sheetViews>
  <sheetFormatPr defaultRowHeight="14.5" x14ac:dyDescent="0.35"/>
  <cols>
    <col min="1" max="1" width="10.08984375" customWidth="1"/>
    <col min="2" max="2" width="17.6328125" customWidth="1"/>
    <col min="3" max="3" width="26.6328125" bestFit="1" customWidth="1"/>
    <col min="4" max="4" width="22.54296875" customWidth="1"/>
    <col min="6" max="6" width="12.6328125" bestFit="1" customWidth="1"/>
    <col min="8" max="8" width="27.54296875" bestFit="1" customWidth="1"/>
    <col min="9" max="9" width="13.54296875" bestFit="1" customWidth="1"/>
  </cols>
  <sheetData>
    <row r="1" spans="1:9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 t="s">
        <v>1</v>
      </c>
      <c r="B2" s="1">
        <v>46176</v>
      </c>
      <c r="C2" t="s">
        <v>15</v>
      </c>
      <c r="D2">
        <v>376681962</v>
      </c>
      <c r="E2" t="s">
        <v>10</v>
      </c>
      <c r="G2">
        <v>708881</v>
      </c>
      <c r="H2" t="s">
        <v>11</v>
      </c>
      <c r="I2" t="s">
        <v>13</v>
      </c>
    </row>
    <row r="3" spans="1:9" x14ac:dyDescent="0.35">
      <c r="A3" t="s">
        <v>1</v>
      </c>
      <c r="B3" s="1">
        <v>46176</v>
      </c>
      <c r="D3">
        <v>836784495</v>
      </c>
      <c r="E3" t="s">
        <v>10</v>
      </c>
      <c r="G3">
        <v>476897</v>
      </c>
      <c r="H3" t="s">
        <v>12</v>
      </c>
      <c r="I3" t="s">
        <v>14</v>
      </c>
    </row>
    <row r="4" spans="1:9" x14ac:dyDescent="0.35">
      <c r="A4" t="s">
        <v>1</v>
      </c>
      <c r="B4" s="1">
        <v>46176</v>
      </c>
      <c r="D4">
        <v>498822475</v>
      </c>
      <c r="E4" t="s">
        <v>10</v>
      </c>
      <c r="G4">
        <v>909166</v>
      </c>
      <c r="H4" t="s">
        <v>48</v>
      </c>
      <c r="I4" t="s">
        <v>13</v>
      </c>
    </row>
    <row r="5" spans="1:9" x14ac:dyDescent="0.35">
      <c r="A5" t="s">
        <v>1</v>
      </c>
      <c r="B5" s="1">
        <v>46176</v>
      </c>
      <c r="D5">
        <v>133324351</v>
      </c>
      <c r="E5" t="s">
        <v>10</v>
      </c>
      <c r="G5">
        <v>982065</v>
      </c>
      <c r="H5" t="s">
        <v>49</v>
      </c>
    </row>
    <row r="6" spans="1:9" x14ac:dyDescent="0.35">
      <c r="A6" t="s">
        <v>1</v>
      </c>
      <c r="B6" s="1">
        <v>46176</v>
      </c>
      <c r="D6">
        <v>350339412</v>
      </c>
      <c r="E6" t="s">
        <v>10</v>
      </c>
      <c r="G6">
        <v>894099</v>
      </c>
    </row>
    <row r="7" spans="1:9" x14ac:dyDescent="0.35">
      <c r="A7" t="s">
        <v>1</v>
      </c>
      <c r="B7" s="1">
        <v>46176</v>
      </c>
      <c r="D7">
        <v>683294865</v>
      </c>
      <c r="E7" t="s">
        <v>10</v>
      </c>
      <c r="G7">
        <v>671369</v>
      </c>
    </row>
    <row r="8" spans="1:9" x14ac:dyDescent="0.35">
      <c r="A8" t="s">
        <v>1</v>
      </c>
      <c r="B8" s="1">
        <v>46176</v>
      </c>
      <c r="D8">
        <v>543531255</v>
      </c>
      <c r="E8" t="s">
        <v>10</v>
      </c>
      <c r="G8">
        <v>972467</v>
      </c>
    </row>
    <row r="9" spans="1:9" x14ac:dyDescent="0.35">
      <c r="A9" t="s">
        <v>1</v>
      </c>
      <c r="B9" s="1">
        <v>46176</v>
      </c>
      <c r="D9">
        <v>344284704</v>
      </c>
      <c r="E9" t="s">
        <v>10</v>
      </c>
      <c r="G9">
        <v>233899</v>
      </c>
    </row>
    <row r="10" spans="1:9" x14ac:dyDescent="0.35">
      <c r="A10" t="s">
        <v>1</v>
      </c>
      <c r="B10" s="1">
        <v>46176</v>
      </c>
      <c r="D10">
        <v>435328172</v>
      </c>
      <c r="E10" t="s">
        <v>10</v>
      </c>
      <c r="G10">
        <v>780900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A293-8C6F-4197-A5F4-7042AE512A02}">
  <dimension ref="A1:B6"/>
  <sheetViews>
    <sheetView workbookViewId="0">
      <selection activeCell="A6" sqref="A6"/>
    </sheetView>
  </sheetViews>
  <sheetFormatPr defaultRowHeight="14.5" x14ac:dyDescent="0.35"/>
  <cols>
    <col min="1" max="1" width="19.81640625" customWidth="1"/>
    <col min="2" max="2" width="18" customWidth="1"/>
    <col min="3" max="3" width="20.36328125" customWidth="1"/>
    <col min="4" max="4" width="17" customWidth="1"/>
  </cols>
  <sheetData>
    <row r="1" spans="1:2" x14ac:dyDescent="0.35">
      <c r="A1" t="s">
        <v>92</v>
      </c>
      <c r="B1" t="s">
        <v>93</v>
      </c>
    </row>
    <row r="2" spans="1:2" x14ac:dyDescent="0.35">
      <c r="A2">
        <v>708881</v>
      </c>
      <c r="B2" t="s">
        <v>11</v>
      </c>
    </row>
    <row r="3" spans="1:2" x14ac:dyDescent="0.35">
      <c r="A3">
        <v>476897</v>
      </c>
      <c r="B3" t="s">
        <v>12</v>
      </c>
    </row>
    <row r="4" spans="1:2" x14ac:dyDescent="0.35">
      <c r="A4">
        <v>909166</v>
      </c>
      <c r="B4" t="s">
        <v>48</v>
      </c>
    </row>
    <row r="5" spans="1:2" x14ac:dyDescent="0.35">
      <c r="A5">
        <v>982065</v>
      </c>
      <c r="B5" t="s">
        <v>49</v>
      </c>
    </row>
    <row r="6" spans="1:2" x14ac:dyDescent="0.35">
      <c r="A6">
        <v>469657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D9AB-1FB3-4643-B4CD-DEEA844DCB98}">
  <dimension ref="A1:D4"/>
  <sheetViews>
    <sheetView workbookViewId="0">
      <selection activeCell="D5" sqref="D5"/>
    </sheetView>
  </sheetViews>
  <sheetFormatPr defaultRowHeight="14.5" x14ac:dyDescent="0.35"/>
  <cols>
    <col min="1" max="1" width="11.6328125" customWidth="1"/>
    <col min="2" max="2" width="19.26953125" customWidth="1"/>
    <col min="3" max="3" width="16.54296875" customWidth="1"/>
    <col min="4" max="4" width="24.453125" customWidth="1"/>
  </cols>
  <sheetData>
    <row r="1" spans="1:4" x14ac:dyDescent="0.35">
      <c r="A1" t="s">
        <v>94</v>
      </c>
      <c r="B1" t="s">
        <v>95</v>
      </c>
      <c r="C1" t="s">
        <v>96</v>
      </c>
      <c r="D1" t="s">
        <v>97</v>
      </c>
    </row>
    <row r="2" spans="1:4" x14ac:dyDescent="0.35">
      <c r="A2" s="16">
        <v>906296</v>
      </c>
      <c r="B2" t="s">
        <v>98</v>
      </c>
      <c r="C2" s="1">
        <v>46023</v>
      </c>
      <c r="D2" s="1">
        <v>2958465</v>
      </c>
    </row>
    <row r="3" spans="1:4" x14ac:dyDescent="0.35">
      <c r="A3">
        <v>814590</v>
      </c>
      <c r="B3" t="s">
        <v>99</v>
      </c>
    </row>
    <row r="4" spans="1:4" x14ac:dyDescent="0.35">
      <c r="A4">
        <v>909166</v>
      </c>
      <c r="B4" t="s">
        <v>100</v>
      </c>
      <c r="C4" s="1">
        <v>44136</v>
      </c>
      <c r="D4" s="1">
        <v>2958465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70D1-AAA8-4299-82D0-DABE2DFD801D}">
  <dimension ref="A1:I10"/>
  <sheetViews>
    <sheetView workbookViewId="0">
      <selection activeCell="D10" sqref="D10"/>
    </sheetView>
  </sheetViews>
  <sheetFormatPr defaultRowHeight="14.5" x14ac:dyDescent="0.35"/>
  <cols>
    <col min="1" max="1" width="15" customWidth="1"/>
    <col min="2" max="2" width="20.81640625" customWidth="1"/>
    <col min="3" max="3" width="18.453125" customWidth="1"/>
    <col min="4" max="4" width="9.08984375" bestFit="1" customWidth="1"/>
    <col min="5" max="5" width="13.81640625" customWidth="1"/>
    <col min="7" max="7" width="15.36328125" customWidth="1"/>
    <col min="8" max="8" width="17.7265625" customWidth="1"/>
    <col min="9" max="9" width="13" bestFit="1" customWidth="1"/>
  </cols>
  <sheetData>
    <row r="1" spans="1:9" x14ac:dyDescent="0.35">
      <c r="A1" t="s">
        <v>18</v>
      </c>
      <c r="B1" t="s">
        <v>17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29</v>
      </c>
      <c r="I1" t="s">
        <v>47</v>
      </c>
    </row>
    <row r="2" spans="1:9" x14ac:dyDescent="0.35">
      <c r="A2" s="3">
        <v>4088042736</v>
      </c>
      <c r="B2" t="s">
        <v>25</v>
      </c>
      <c r="C2" t="s">
        <v>26</v>
      </c>
      <c r="D2" s="1">
        <v>29526</v>
      </c>
      <c r="E2" s="2">
        <f ca="1">DATEDIF(D2,TODAY(),"Y")</f>
        <v>45</v>
      </c>
      <c r="F2" t="s">
        <v>27</v>
      </c>
      <c r="G2" t="s">
        <v>28</v>
      </c>
      <c r="H2">
        <v>376681962</v>
      </c>
    </row>
    <row r="3" spans="1:9" x14ac:dyDescent="0.35">
      <c r="A3">
        <v>2800672319</v>
      </c>
      <c r="B3" t="s">
        <v>30</v>
      </c>
      <c r="C3" t="s">
        <v>31</v>
      </c>
      <c r="D3" s="1">
        <v>33142</v>
      </c>
      <c r="E3" s="2">
        <f t="shared" ref="E3:E10" ca="1" si="0">DATEDIF(D3,TODAY(),"Y")</f>
        <v>36</v>
      </c>
      <c r="F3" t="s">
        <v>27</v>
      </c>
      <c r="G3" t="s">
        <v>28</v>
      </c>
      <c r="H3">
        <v>836784495</v>
      </c>
    </row>
    <row r="4" spans="1:9" x14ac:dyDescent="0.35">
      <c r="A4">
        <v>1125525865</v>
      </c>
      <c r="B4" t="s">
        <v>32</v>
      </c>
      <c r="C4" t="s">
        <v>33</v>
      </c>
      <c r="D4" s="1">
        <v>27396</v>
      </c>
      <c r="E4" s="2">
        <f t="shared" ca="1" si="0"/>
        <v>51</v>
      </c>
      <c r="F4" t="s">
        <v>27</v>
      </c>
      <c r="G4" t="s">
        <v>28</v>
      </c>
      <c r="H4">
        <v>498822475</v>
      </c>
    </row>
    <row r="5" spans="1:9" x14ac:dyDescent="0.35">
      <c r="A5">
        <v>8104375203</v>
      </c>
      <c r="B5" t="s">
        <v>32</v>
      </c>
      <c r="C5" t="s">
        <v>35</v>
      </c>
      <c r="D5" s="1">
        <v>26698</v>
      </c>
      <c r="E5" s="2">
        <f t="shared" ca="1" si="0"/>
        <v>53</v>
      </c>
      <c r="F5" t="s">
        <v>44</v>
      </c>
      <c r="G5" t="s">
        <v>28</v>
      </c>
      <c r="H5">
        <v>133324351</v>
      </c>
    </row>
    <row r="6" spans="1:9" x14ac:dyDescent="0.35">
      <c r="A6">
        <v>6724421141</v>
      </c>
      <c r="B6" t="s">
        <v>36</v>
      </c>
      <c r="C6" t="s">
        <v>37</v>
      </c>
      <c r="D6" s="1">
        <v>30014</v>
      </c>
      <c r="E6" s="2">
        <f t="shared" ca="1" si="0"/>
        <v>44</v>
      </c>
      <c r="F6" t="s">
        <v>27</v>
      </c>
      <c r="G6" t="s">
        <v>28</v>
      </c>
      <c r="H6">
        <v>350339412</v>
      </c>
    </row>
    <row r="7" spans="1:9" x14ac:dyDescent="0.35">
      <c r="A7">
        <v>3428511303</v>
      </c>
      <c r="B7" t="s">
        <v>38</v>
      </c>
      <c r="C7" t="s">
        <v>33</v>
      </c>
      <c r="D7" s="1">
        <v>32603</v>
      </c>
      <c r="E7" s="2">
        <f t="shared" ca="1" si="0"/>
        <v>37</v>
      </c>
      <c r="F7" t="s">
        <v>27</v>
      </c>
      <c r="G7" t="s">
        <v>28</v>
      </c>
      <c r="H7">
        <v>683294865</v>
      </c>
    </row>
    <row r="8" spans="1:9" x14ac:dyDescent="0.35">
      <c r="A8">
        <v>7373366639</v>
      </c>
      <c r="B8" t="s">
        <v>39</v>
      </c>
      <c r="C8" t="s">
        <v>40</v>
      </c>
      <c r="D8" s="1">
        <v>34825</v>
      </c>
      <c r="E8" s="2">
        <f t="shared" ca="1" si="0"/>
        <v>31</v>
      </c>
      <c r="F8" t="s">
        <v>27</v>
      </c>
      <c r="G8" t="s">
        <v>28</v>
      </c>
      <c r="H8">
        <v>543531255</v>
      </c>
    </row>
    <row r="9" spans="1:9" x14ac:dyDescent="0.35">
      <c r="A9">
        <v>6350095935</v>
      </c>
      <c r="B9" t="s">
        <v>42</v>
      </c>
      <c r="C9" t="s">
        <v>41</v>
      </c>
      <c r="D9" s="1">
        <v>36684</v>
      </c>
      <c r="E9" s="2">
        <f t="shared" ca="1" si="0"/>
        <v>26</v>
      </c>
      <c r="F9" t="s">
        <v>27</v>
      </c>
      <c r="G9" t="s">
        <v>28</v>
      </c>
      <c r="H9">
        <v>344284704</v>
      </c>
    </row>
    <row r="10" spans="1:9" x14ac:dyDescent="0.35">
      <c r="A10">
        <v>3141284892</v>
      </c>
      <c r="B10" t="s">
        <v>43</v>
      </c>
      <c r="C10" t="s">
        <v>34</v>
      </c>
      <c r="D10" s="1">
        <v>37810</v>
      </c>
      <c r="E10" s="2">
        <f t="shared" ca="1" si="0"/>
        <v>23</v>
      </c>
      <c r="F10" t="s">
        <v>44</v>
      </c>
      <c r="G10" t="s">
        <v>28</v>
      </c>
      <c r="H10">
        <v>435328172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Member Dtls</vt:lpstr>
      <vt:lpstr>ICUE - Program Dtls</vt:lpstr>
      <vt:lpstr>Test Scenarios</vt:lpstr>
      <vt:lpstr>Member Case</vt:lpstr>
      <vt:lpstr>Allcoation</vt:lpstr>
      <vt:lpstr>MGRL</vt:lpstr>
      <vt:lpstr>Eligibility</vt:lpstr>
      <vt:lpstr>Member Dtls_x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Intal, Michael S</dc:creator>
  <cp:lastModifiedBy>Intal, Michael S</cp:lastModifiedBy>
  <dcterms:created xsi:type="dcterms:W3CDTF">2026-09-24T09:29:46Z</dcterms:created>
  <dcterms:modified xsi:type="dcterms:W3CDTF">2026-10-15T17:20:42Z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0eab11-f9db-49ae-a11f-d1cb7a96399a_Enabled">
    <vt:lpwstr>true</vt:lpwstr>
  </property>
  <property fmtid="{D5CDD505-2E9C-101B-9397-08002B2CF9AE}" pid="3" name="MSIP_Label_c10eab11-f9db-49ae-a11f-d1cb7a96399a_SetDate">
    <vt:lpwstr>2026-09-24T13:43:45Z</vt:lpwstr>
  </property>
  <property fmtid="{D5CDD505-2E9C-101B-9397-08002B2CF9AE}" pid="4" name="MSIP_Label_c10eab11-f9db-49ae-a11f-d1cb7a96399a_Method">
    <vt:lpwstr>Standard</vt:lpwstr>
  </property>
  <property fmtid="{D5CDD505-2E9C-101B-9397-08002B2CF9AE}" pid="5" name="MSIP_Label_c10eab11-f9db-49ae-a11f-d1cb7a96399a_Name">
    <vt:lpwstr>Protected Info</vt:lpwstr>
  </property>
  <property fmtid="{D5CDD505-2E9C-101B-9397-08002B2CF9AE}" pid="6" name="MSIP_Label_c10eab11-f9db-49ae-a11f-d1cb7a96399a_SiteId">
    <vt:lpwstr>db05faca-c82a-4b9d-b9c5-0f64b6755421</vt:lpwstr>
  </property>
  <property fmtid="{D5CDD505-2E9C-101B-9397-08002B2CF9AE}" pid="7" name="MSIP_Label_c10eab11-f9db-49ae-a11f-d1cb7a96399a_ActionId">
    <vt:lpwstr>b147f872-3e4f-4f53-ae0a-0dbde0a28e51</vt:lpwstr>
  </property>
  <property fmtid="{D5CDD505-2E9C-101B-9397-08002B2CF9AE}" pid="8" name="MSIP_Label_c10eab11-f9db-49ae-a11f-d1cb7a96399a_ContentBits">
    <vt:lpwstr>0</vt:lpwstr>
  </property>
  <property fmtid="{D5CDD505-2E9C-101B-9397-08002B2CF9AE}" pid="9" name="MSIP_Label_c10eab11-f9db-49ae-a11f-d1cb7a96399a_Tag">
    <vt:lpwstr>10, 1, 2, 1</vt:lpwstr>
  </property>
</Properties>
</file>